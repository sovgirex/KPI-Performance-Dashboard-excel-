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bookViews>
    <workbookView xWindow="0" yWindow="0" windowWidth="28800" windowHeight="13500" tabRatio="500"/>
  </bookViews>
  <sheets>
    <sheet name="KPI Perform Dashboard" sheetId="6" r:id="rId1"/>
  </sheets>
  <externalReferences>
    <externalReference r:id="rId2"/>
  </externalReferences>
  <definedNames>
    <definedName name="_xlnm.Print_Area" localSheetId="0">'KPI Perform Dashboard'!$B$1:$M$29</definedName>
    <definedName name="Type">'[1]Business Meeting Agenda'!#REF!</definedName>
  </definedNam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9" i="6" l="1"/>
  <c r="B29" i="6"/>
  <c r="D29" i="6"/>
  <c r="C29" i="6"/>
  <c r="H17" i="6"/>
  <c r="C5" i="6"/>
</calcChain>
</file>

<file path=xl/sharedStrings.xml><?xml version="1.0" encoding="utf-8"?>
<sst xmlns="http://schemas.openxmlformats.org/spreadsheetml/2006/main" count="49" uniqueCount="45">
  <si>
    <t>RISKS</t>
  </si>
  <si>
    <t>HIGH</t>
  </si>
  <si>
    <t>MEDIUM</t>
  </si>
  <si>
    <t>LOW</t>
  </si>
  <si>
    <t>ISSUES</t>
  </si>
  <si>
    <t>REVISIONS</t>
  </si>
  <si>
    <t>PENDING ACTIONS</t>
  </si>
  <si>
    <t>BUDGET</t>
  </si>
  <si>
    <t>PROJECTED</t>
  </si>
  <si>
    <t>ACTUAL</t>
  </si>
  <si>
    <t>REMAINDER</t>
  </si>
  <si>
    <t>SCHEDULE</t>
  </si>
  <si>
    <t>DASHBOARD DATA</t>
  </si>
  <si>
    <t>OVERALL STATUS</t>
  </si>
  <si>
    <t>UNRESOLVED</t>
  </si>
  <si>
    <t>PROJECTS / TASKS</t>
  </si>
  <si>
    <t>NOT STARTED</t>
  </si>
  <si>
    <t>IN PROGRESS</t>
  </si>
  <si>
    <t>COMPLETE</t>
  </si>
  <si>
    <t>PROGRESS</t>
  </si>
  <si>
    <t xml:space="preserve">BUDGET </t>
  </si>
  <si>
    <t>remaining</t>
  </si>
  <si>
    <t>complete</t>
  </si>
  <si>
    <t>ahead</t>
  </si>
  <si>
    <t>MONTHLY REVENUE TOTALS</t>
  </si>
  <si>
    <t>QUARTERLY REVENUE TOTALS</t>
  </si>
  <si>
    <t>QUARTER 1</t>
  </si>
  <si>
    <t>QUARTER 3</t>
  </si>
  <si>
    <t>QUARTER 4</t>
  </si>
  <si>
    <t>JANUARY</t>
  </si>
  <si>
    <t>FEBRUARY</t>
  </si>
  <si>
    <t>MARCH</t>
  </si>
  <si>
    <t>APRIL</t>
  </si>
  <si>
    <t>MAY</t>
  </si>
  <si>
    <t>JUNE</t>
  </si>
  <si>
    <t>JULY</t>
  </si>
  <si>
    <t>OCTOBER</t>
  </si>
  <si>
    <t>NOVEMBER</t>
  </si>
  <si>
    <t>AUGUST</t>
  </si>
  <si>
    <t>SEPTEMBER</t>
  </si>
  <si>
    <t>DECEMBER</t>
  </si>
  <si>
    <t>QUARTER 2</t>
  </si>
  <si>
    <t>MONTHLY REVENUE</t>
  </si>
  <si>
    <t>QUARTERLY REVENUE</t>
  </si>
  <si>
    <t>KPI PERFORMANCE DASHBOARD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</si>
</sst>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* #,##0.00_-;\-&quot;$&quot;* #,##0.00_-;_-&quot;$&quot;* &quot;-&quot;??_-;_-@_-"/>
    <numFmt numFmtId="165" formatCode="&quot;$&quot;#,##0"/>
    <numFmt numFmtId="166" formatCode="&quot;$&quot;#,##0.00"/>
  </numFmts>
  <fonts count="3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  <font>
      <sz val="12"/>
      <color indexed="8"/>
      <name val="Century Gothic"/>
      <family val="1"/>
    </font>
    <font>
      <sz val="10"/>
      <color theme="1"/>
      <name val="Century Gothic"/>
      <family val="1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20"/>
      <color theme="1"/>
      <name val="Century Gothic"/>
      <family val="1"/>
    </font>
    <font>
      <b/>
      <sz val="10"/>
      <color theme="1"/>
      <name val="Century Gothic"/>
      <family val="2"/>
    </font>
    <font>
      <sz val="20"/>
      <color theme="4"/>
      <name val="Century Gothic"/>
      <family val="1"/>
    </font>
    <font>
      <sz val="20"/>
      <color rgb="FF00B0F0"/>
      <name val="Century Gothic"/>
      <family val="1"/>
    </font>
    <font>
      <sz val="20"/>
      <color theme="7" tint="-0.249977111117893"/>
      <name val="Century Gothic"/>
      <family val="1"/>
    </font>
    <font>
      <sz val="18"/>
      <color theme="7" tint="-0.249977111117893"/>
      <name val="Century Gothic"/>
      <family val="1"/>
    </font>
    <font>
      <sz val="30"/>
      <color theme="7" tint="-0.249977111117893"/>
      <name val="Century Gothic"/>
      <family val="1"/>
    </font>
    <font>
      <sz val="12"/>
      <color rgb="FF00B0F0"/>
      <name val="Century Gothic"/>
      <family val="1"/>
    </font>
    <font>
      <sz val="20"/>
      <color theme="9" tint="-0.499984740745262"/>
      <name val="Century Gothic"/>
      <family val="1"/>
    </font>
    <font>
      <sz val="12"/>
      <color theme="9" tint="-0.499984740745262"/>
      <name val="Century Gothic"/>
      <family val="1"/>
    </font>
    <font>
      <sz val="12"/>
      <color theme="4"/>
      <name val="Century Gothic"/>
      <family val="1"/>
    </font>
    <font>
      <sz val="20"/>
      <color theme="5" tint="-0.249977111117893"/>
      <name val="Century Gothic"/>
      <family val="1"/>
    </font>
    <font>
      <sz val="12"/>
      <color theme="5" tint="-0.249977111117893"/>
      <name val="Century Gothic"/>
      <family val="1"/>
    </font>
    <font>
      <sz val="20"/>
      <color rgb="FFB9D63E"/>
      <name val="Century Gothic"/>
      <family val="1"/>
    </font>
    <font>
      <sz val="12"/>
      <color rgb="FFB9D63E"/>
      <name val="Century Gothic"/>
      <family val="1"/>
    </font>
    <font>
      <b/>
      <sz val="22"/>
      <color theme="9" tint="-0.499984740745262"/>
      <name val="Berlin Sans FB Demi"/>
      <family val="2"/>
    </font>
    <font>
      <b/>
      <sz val="22"/>
      <color theme="9" tint="-0.499984740745262"/>
      <name val="Berlin Sans FB"/>
      <family val="2"/>
    </font>
    <font>
      <b/>
      <sz val="24"/>
      <color theme="9" tint="-0.499984740745262"/>
      <name val="Berlin Sans FB"/>
      <family val="2"/>
    </font>
    <font>
      <sz val="10"/>
      <color theme="9" tint="-0.499984740745262"/>
      <name val="Berlin Sans FB"/>
      <family val="2"/>
    </font>
    <font>
      <b/>
      <sz val="12"/>
      <color theme="1"/>
      <name val="Century Gothic"/>
      <family val="2"/>
    </font>
    <font>
      <b/>
      <sz val="12"/>
      <color theme="5" tint="-0.499984740745262"/>
      <name val="Century Gothic"/>
      <family val="2"/>
    </font>
    <font>
      <b/>
      <sz val="14"/>
      <color theme="1" tint="0.34998626667073579"/>
      <name val="Century Gothic"/>
      <family val="2"/>
    </font>
    <font>
      <b/>
      <sz val="10"/>
      <color theme="1" tint="0.34998626667073579"/>
      <name val="Century Gothic"/>
      <family val="2"/>
    </font>
    <font>
      <b/>
      <sz val="12"/>
      <color indexed="8"/>
      <name val="Century Gothic"/>
      <family val="2"/>
    </font>
  </fonts>
  <fills count="2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0CDD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5EBEE"/>
        <bgColor indexed="64"/>
      </patternFill>
    </fill>
    <fill>
      <patternFill patternType="solid">
        <fgColor rgb="FF60CD8E"/>
        <bgColor indexed="64"/>
      </patternFill>
    </fill>
    <fill>
      <patternFill patternType="solid">
        <fgColor rgb="FFADCECC"/>
        <bgColor indexed="64"/>
      </patternFill>
    </fill>
    <fill>
      <patternFill patternType="solid">
        <fgColor rgb="FFDBF0A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 style="thick">
        <color theme="7"/>
      </left>
      <right/>
      <top/>
      <bottom/>
      <diagonal/>
    </border>
    <border>
      <left style="thick">
        <color theme="7"/>
      </left>
      <right/>
      <top/>
      <bottom style="hair">
        <color theme="7" tint="0.39997558519241921"/>
      </bottom>
      <diagonal/>
    </border>
    <border>
      <left/>
      <right/>
      <top/>
      <bottom style="hair">
        <color theme="7" tint="0.39997558519241921"/>
      </bottom>
      <diagonal/>
    </border>
    <border>
      <left style="thick">
        <color theme="7"/>
      </left>
      <right/>
      <top style="hair">
        <color theme="7" tint="0.39997558519241921"/>
      </top>
      <bottom style="hair">
        <color theme="7" tint="0.39997558519241921"/>
      </bottom>
      <diagonal/>
    </border>
    <border>
      <left/>
      <right/>
      <top style="hair">
        <color theme="7" tint="0.39997558519241921"/>
      </top>
      <bottom style="hair">
        <color theme="7" tint="0.39997558519241921"/>
      </bottom>
      <diagonal/>
    </border>
    <border>
      <left style="thick">
        <color rgb="FF00A500"/>
      </left>
      <right/>
      <top/>
      <bottom/>
      <diagonal/>
    </border>
    <border>
      <left style="thick">
        <color rgb="FF60CDDD"/>
      </left>
      <right/>
      <top/>
      <bottom/>
      <diagonal/>
    </border>
    <border>
      <left style="thick">
        <color rgb="FFC5EBEE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ck">
        <color theme="9" tint="0.79998168889431442"/>
      </left>
      <right/>
      <top/>
      <bottom/>
      <diagonal/>
    </border>
    <border>
      <left style="thick">
        <color theme="5" tint="0.79998168889431442"/>
      </left>
      <right/>
      <top/>
      <bottom/>
      <diagonal/>
    </border>
    <border>
      <left/>
      <right/>
      <top/>
      <bottom style="mediumDashed">
        <color theme="9" tint="-0.249977111117893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vertical="top"/>
    </xf>
    <xf numFmtId="0" fontId="4" fillId="5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8" fillId="13" borderId="12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14" borderId="12" xfId="0" applyFont="1" applyFill="1" applyBorder="1" applyAlignment="1">
      <alignment horizontal="center" vertical="center"/>
    </xf>
    <xf numFmtId="0" fontId="8" fillId="14" borderId="12" xfId="0" applyFont="1" applyFill="1" applyBorder="1" applyAlignment="1">
      <alignment horizontal="center" vertical="center" wrapText="1"/>
    </xf>
    <xf numFmtId="0" fontId="8" fillId="15" borderId="12" xfId="0" applyFont="1" applyFill="1" applyBorder="1" applyAlignment="1">
      <alignment horizontal="center" vertical="center"/>
    </xf>
    <xf numFmtId="0" fontId="8" fillId="15" borderId="12" xfId="0" applyFont="1" applyFill="1" applyBorder="1" applyAlignment="1">
      <alignment horizontal="center" vertical="center" wrapText="1"/>
    </xf>
    <xf numFmtId="0" fontId="8" fillId="16" borderId="12" xfId="0" applyFont="1" applyFill="1" applyBorder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0" fontId="7" fillId="0" borderId="0" xfId="0" applyFont="1" applyFill="1" applyAlignment="1">
      <alignment vertical="top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 indent="1"/>
    </xf>
    <xf numFmtId="0" fontId="7" fillId="0" borderId="0" xfId="0" applyFont="1" applyFill="1" applyAlignment="1">
      <alignment horizontal="left" vertical="center" indent="1"/>
    </xf>
    <xf numFmtId="0" fontId="11" fillId="0" borderId="4" xfId="0" applyFont="1" applyFill="1" applyBorder="1" applyAlignment="1">
      <alignment horizontal="left" vertical="center" indent="1"/>
    </xf>
    <xf numFmtId="0" fontId="11" fillId="0" borderId="0" xfId="0" applyFont="1" applyFill="1" applyAlignment="1">
      <alignment vertical="top"/>
    </xf>
    <xf numFmtId="0" fontId="15" fillId="0" borderId="9" xfId="0" applyFont="1" applyFill="1" applyBorder="1" applyAlignment="1">
      <alignment horizontal="left" vertical="center" indent="1"/>
    </xf>
    <xf numFmtId="0" fontId="16" fillId="0" borderId="0" xfId="0" applyFont="1" applyFill="1"/>
    <xf numFmtId="0" fontId="15" fillId="0" borderId="0" xfId="0" applyFont="1" applyFill="1" applyAlignment="1">
      <alignment vertical="center"/>
    </xf>
    <xf numFmtId="0" fontId="12" fillId="0" borderId="5" xfId="0" applyFont="1" applyFill="1" applyBorder="1" applyAlignment="1">
      <alignment horizontal="left" vertical="center" indent="1"/>
    </xf>
    <xf numFmtId="9" fontId="13" fillId="0" borderId="6" xfId="3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left" vertical="center" indent="1"/>
    </xf>
    <xf numFmtId="0" fontId="16" fillId="0" borderId="9" xfId="0" applyFont="1" applyFill="1" applyBorder="1"/>
    <xf numFmtId="0" fontId="12" fillId="0" borderId="7" xfId="0" applyFont="1" applyFill="1" applyBorder="1" applyAlignment="1">
      <alignment horizontal="left" vertical="center" indent="1"/>
    </xf>
    <xf numFmtId="9" fontId="13" fillId="0" borderId="8" xfId="3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left" vertical="center" indent="1"/>
    </xf>
    <xf numFmtId="0" fontId="12" fillId="0" borderId="4" xfId="0" applyFont="1" applyFill="1" applyBorder="1" applyAlignment="1">
      <alignment horizontal="left" vertical="center" indent="1"/>
    </xf>
    <xf numFmtId="9" fontId="13" fillId="0" borderId="0" xfId="3" applyFont="1" applyFill="1" applyAlignment="1">
      <alignment horizontal="center" vertical="center"/>
    </xf>
    <xf numFmtId="0" fontId="12" fillId="0" borderId="0" xfId="0" applyFont="1" applyFill="1" applyAlignment="1">
      <alignment horizontal="left" vertical="center" indent="1"/>
    </xf>
    <xf numFmtId="0" fontId="10" fillId="0" borderId="10" xfId="0" applyFont="1" applyFill="1" applyBorder="1" applyAlignment="1">
      <alignment horizontal="left" vertical="center" indent="1"/>
    </xf>
    <xf numFmtId="0" fontId="10" fillId="0" borderId="0" xfId="0" applyFont="1" applyFill="1" applyAlignment="1">
      <alignment horizontal="left" vertical="center" indent="1"/>
    </xf>
    <xf numFmtId="0" fontId="9" fillId="0" borderId="11" xfId="0" applyFont="1" applyFill="1" applyBorder="1" applyAlignment="1">
      <alignment horizontal="left" vertical="center" indent="1"/>
    </xf>
    <xf numFmtId="0" fontId="9" fillId="0" borderId="0" xfId="0" applyFont="1" applyFill="1" applyAlignment="1">
      <alignment vertical="center"/>
    </xf>
    <xf numFmtId="0" fontId="18" fillId="0" borderId="15" xfId="0" applyFont="1" applyFill="1" applyBorder="1" applyAlignment="1">
      <alignment horizontal="left" vertical="center" indent="1"/>
    </xf>
    <xf numFmtId="0" fontId="19" fillId="0" borderId="0" xfId="0" applyFont="1" applyFill="1"/>
    <xf numFmtId="0" fontId="14" fillId="0" borderId="10" xfId="0" applyFont="1" applyFill="1" applyBorder="1"/>
    <xf numFmtId="0" fontId="14" fillId="0" borderId="0" xfId="0" applyFont="1" applyFill="1"/>
    <xf numFmtId="0" fontId="17" fillId="0" borderId="11" xfId="0" applyFont="1" applyFill="1" applyBorder="1"/>
    <xf numFmtId="0" fontId="17" fillId="0" borderId="0" xfId="0" applyFont="1" applyFill="1"/>
    <xf numFmtId="0" fontId="19" fillId="0" borderId="15" xfId="0" applyFont="1" applyFill="1" applyBorder="1"/>
    <xf numFmtId="0" fontId="10" fillId="0" borderId="0" xfId="0" applyFont="1" applyFill="1" applyAlignment="1">
      <alignment vertical="center"/>
    </xf>
    <xf numFmtId="0" fontId="20" fillId="0" borderId="14" xfId="0" applyFont="1" applyFill="1" applyBorder="1" applyAlignment="1">
      <alignment horizontal="left" vertical="center" indent="1"/>
    </xf>
    <xf numFmtId="0" fontId="21" fillId="0" borderId="0" xfId="0" applyFont="1" applyFill="1"/>
    <xf numFmtId="0" fontId="21" fillId="0" borderId="14" xfId="0" applyFont="1" applyFill="1" applyBorder="1"/>
    <xf numFmtId="0" fontId="24" fillId="18" borderId="0" xfId="0" applyFont="1" applyFill="1" applyAlignment="1">
      <alignment vertical="center"/>
    </xf>
    <xf numFmtId="0" fontId="23" fillId="18" borderId="0" xfId="0" applyFont="1" applyFill="1" applyAlignment="1">
      <alignment vertical="center" wrapText="1"/>
    </xf>
    <xf numFmtId="0" fontId="25" fillId="18" borderId="0" xfId="0" applyFont="1" applyFill="1" applyAlignment="1">
      <alignment wrapText="1"/>
    </xf>
    <xf numFmtId="0" fontId="2" fillId="0" borderId="0" xfId="0" applyFont="1" applyBorder="1" applyAlignment="1">
      <alignment vertical="top"/>
    </xf>
    <xf numFmtId="0" fontId="27" fillId="0" borderId="16" xfId="0" applyFont="1" applyFill="1" applyBorder="1" applyAlignment="1">
      <alignment horizontal="left" vertical="center" indent="1"/>
    </xf>
    <xf numFmtId="0" fontId="27" fillId="0" borderId="16" xfId="0" applyFont="1" applyFill="1" applyBorder="1"/>
    <xf numFmtId="0" fontId="22" fillId="19" borderId="0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/>
    <xf numFmtId="0" fontId="26" fillId="0" borderId="0" xfId="0" applyFont="1"/>
    <xf numFmtId="0" fontId="8" fillId="1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" fontId="30" fillId="0" borderId="1" xfId="0" applyNumberFormat="1" applyFont="1" applyBorder="1" applyAlignment="1">
      <alignment horizontal="center" vertical="center"/>
    </xf>
    <xf numFmtId="165" fontId="30" fillId="0" borderId="1" xfId="1" applyNumberFormat="1" applyFont="1" applyFill="1" applyBorder="1" applyAlignment="1">
      <alignment horizontal="center" vertical="center"/>
    </xf>
    <xf numFmtId="0" fontId="26" fillId="0" borderId="3" xfId="0" applyFont="1" applyBorder="1"/>
    <xf numFmtId="0" fontId="8" fillId="4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1" fontId="30" fillId="0" borderId="0" xfId="0" applyNumberFormat="1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166" fontId="30" fillId="0" borderId="12" xfId="0" applyNumberFormat="1" applyFont="1" applyBorder="1" applyAlignment="1">
      <alignment horizontal="center" vertical="center"/>
    </xf>
    <xf numFmtId="166" fontId="26" fillId="0" borderId="12" xfId="0" applyNumberFormat="1" applyFont="1" applyBorder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6" fontId="26" fillId="5" borderId="0" xfId="0" applyNumberFormat="1" applyFont="1" applyFill="1" applyAlignment="1">
      <alignment horizontal="center" vertical="center"/>
    </xf>
    <xf numFmtId="166" fontId="30" fillId="17" borderId="12" xfId="0" applyNumberFormat="1" applyFont="1" applyFill="1" applyBorder="1" applyAlignment="1">
      <alignment horizontal="center" vertical="center"/>
    </xf>
    <xf numFmtId="166" fontId="26" fillId="17" borderId="12" xfId="0" applyNumberFormat="1" applyFont="1" applyFill="1" applyBorder="1" applyAlignment="1">
      <alignment horizontal="center" vertical="center"/>
    </xf>
    <xf numFmtId="166" fontId="26" fillId="0" borderId="13" xfId="0" applyNumberFormat="1" applyFont="1" applyBorder="1" applyAlignment="1">
      <alignment horizontal="center" vertical="center"/>
    </xf>
  </cellXfs>
  <cellStyles count="4">
    <cellStyle name="Currency" xfId="1" builtinId="4"/>
    <cellStyle name="Normal" xfId="0" builtinId="0"/>
    <cellStyle name="Normal 2" xfId="2"/>
    <cellStyle name="Percent" xfId="3" builtinId="5"/>
  </cellStyles>
  <dxfs count="0"/>
  <tableStyles count="0" defaultTableStyle="TableStyleMedium9" defaultPivotStyle="PivotStyleMedium4"/>
  <colors>
    <mruColors>
      <color rgb="FFB9D63E"/>
      <color rgb="FFE4EFB4"/>
      <color rgb="FFC5EBEE"/>
      <color rgb="FF60CDDD"/>
      <color rgb="FF00A500"/>
      <color rgb="FFDBF0AF"/>
      <color rgb="FFADCECC"/>
      <color rgb="FF60CD8E"/>
      <color rgb="FF9A98B5"/>
      <color rgb="FFEACF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418962070174439"/>
          <c:y val="7.3519553072625685E-2"/>
          <c:w val="0.74520973686953396"/>
          <c:h val="0.7977284124400652"/>
        </c:manualLayout>
      </c:layout>
      <c:barChart>
        <c:barDir val="bar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E9-4A3C-9F2D-744880B646D4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E9-4A3C-9F2D-744880B646D4}"/>
              </c:ext>
            </c:extLst>
          </c:dPt>
          <c:dPt>
            <c:idx val="2"/>
            <c:invertIfNegative val="0"/>
            <c:bubble3D val="0"/>
            <c:spPr>
              <a:solidFill>
                <a:srgbClr val="C5EBE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E9-4A3C-9F2D-744880B646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Arial" charset="0"/>
                    <a:cs typeface="Arial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Perform Dashboard'!$B$20:$D$20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'KPI Perform Dashboard'!$B$21:$D$21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E9-4A3C-9F2D-744880B64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125899112"/>
        <c:axId val="-2102169416"/>
      </c:barChart>
      <c:catAx>
        <c:axId val="2125899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Arial" charset="0"/>
                <a:cs typeface="Arial" charset="0"/>
              </a:defRPr>
            </a:pPr>
            <a:endParaRPr lang="en-US"/>
          </a:p>
        </c:txPr>
        <c:crossAx val="-2102169416"/>
        <c:crosses val="autoZero"/>
        <c:auto val="1"/>
        <c:lblAlgn val="ctr"/>
        <c:lblOffset val="100"/>
        <c:noMultiLvlLbl val="0"/>
      </c:catAx>
      <c:valAx>
        <c:axId val="-21021694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Arial" charset="0"/>
                <a:cs typeface="Arial" charset="0"/>
              </a:defRPr>
            </a:pPr>
            <a:endParaRPr lang="en-US"/>
          </a:p>
        </c:txPr>
        <c:crossAx val="2125899112"/>
        <c:crosses val="autoZero"/>
        <c:crossBetween val="between"/>
        <c:majorUnit val="5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Century Gothic" panose="020B0502020202020204" pitchFamily="34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719804428778531"/>
          <c:y val="7.3519553072625685E-2"/>
          <c:w val="0.74220131328349304"/>
          <c:h val="0.7977284124400652"/>
        </c:manualLayout>
      </c:layout>
      <c:barChart>
        <c:barDir val="bar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0CD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14-4E74-AB23-B9B2AC88B661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14-4E74-AB23-B9B2AC88B661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814-4E74-AB23-B9B2AC88B6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Arial" charset="0"/>
                    <a:cs typeface="Arial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Perform Dashboard'!$F$20:$H$20</c:f>
              <c:strCache>
                <c:ptCount val="3"/>
                <c:pt idx="0">
                  <c:v>UNRESOLVED</c:v>
                </c:pt>
                <c:pt idx="1">
                  <c:v>REVISIONS</c:v>
                </c:pt>
                <c:pt idx="2">
                  <c:v>PENDING ACTIONS</c:v>
                </c:pt>
              </c:strCache>
            </c:strRef>
          </c:cat>
          <c:val>
            <c:numRef>
              <c:f>'KPI Perform Dashboard'!$F$21:$H$21</c:f>
              <c:numCache>
                <c:formatCode>0</c:formatCode>
                <c:ptCount val="3"/>
                <c:pt idx="0">
                  <c:v>3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14-4E74-AB23-B9B2AC88B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125899112"/>
        <c:axId val="-2102169416"/>
      </c:barChart>
      <c:catAx>
        <c:axId val="2125899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Arial" charset="0"/>
                <a:cs typeface="Arial" charset="0"/>
              </a:defRPr>
            </a:pPr>
            <a:endParaRPr lang="en-US"/>
          </a:p>
        </c:txPr>
        <c:crossAx val="-2102169416"/>
        <c:crosses val="autoZero"/>
        <c:auto val="1"/>
        <c:lblAlgn val="ctr"/>
        <c:lblOffset val="100"/>
        <c:noMultiLvlLbl val="0"/>
      </c:catAx>
      <c:valAx>
        <c:axId val="-21021694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Arial" charset="0"/>
                <a:cs typeface="Arial" charset="0"/>
              </a:defRPr>
            </a:pPr>
            <a:endParaRPr lang="en-US"/>
          </a:p>
        </c:txPr>
        <c:crossAx val="2125899112"/>
        <c:crosses val="autoZero"/>
        <c:crossBetween val="between"/>
        <c:majorUnit val="5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Century Gothic" panose="020B0502020202020204" pitchFamily="34" charset="0"/>
          <a:ea typeface="Arial" charset="0"/>
          <a:cs typeface="Arial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0CDD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62-46CA-9674-7969FB9B14DE}"/>
              </c:ext>
            </c:extLst>
          </c:dPt>
          <c:dPt>
            <c:idx val="1"/>
            <c:invertIfNegative val="0"/>
            <c:bubble3D val="0"/>
            <c:spPr>
              <a:solidFill>
                <a:srgbClr val="60CD8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62-46CA-9674-7969FB9B14DE}"/>
              </c:ext>
            </c:extLst>
          </c:dPt>
          <c:dPt>
            <c:idx val="2"/>
            <c:invertIfNegative val="0"/>
            <c:bubble3D val="0"/>
            <c:spPr>
              <a:solidFill>
                <a:srgbClr val="ADCE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C62-46CA-9674-7969FB9B14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Perform Dashboard'!$F$16:$H$16</c:f>
              <c:strCache>
                <c:ptCount val="3"/>
                <c:pt idx="0">
                  <c:v>PROJECTED</c:v>
                </c:pt>
                <c:pt idx="1">
                  <c:v>ACTUAL</c:v>
                </c:pt>
                <c:pt idx="2">
                  <c:v>REMAINDER</c:v>
                </c:pt>
              </c:strCache>
            </c:strRef>
          </c:cat>
          <c:val>
            <c:numRef>
              <c:f>'KPI Perform Dashboard'!$F$17:$H$17</c:f>
              <c:numCache>
                <c:formatCode>"$"#,##0</c:formatCode>
                <c:ptCount val="3"/>
                <c:pt idx="0">
                  <c:v>250000</c:v>
                </c:pt>
                <c:pt idx="1">
                  <c:v>185000</c:v>
                </c:pt>
                <c:pt idx="2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62-46CA-9674-7969FB9B1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overlap val="100"/>
        <c:axId val="1429423679"/>
        <c:axId val="1429741471"/>
      </c:barChart>
      <c:catAx>
        <c:axId val="142942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429741471"/>
        <c:crosses val="autoZero"/>
        <c:auto val="1"/>
        <c:lblAlgn val="ctr"/>
        <c:lblOffset val="100"/>
        <c:noMultiLvlLbl val="0"/>
      </c:catAx>
      <c:valAx>
        <c:axId val="142974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42942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145164546739345E-2"/>
          <c:y val="1.371916010498688E-2"/>
          <c:w val="0.76375445256842911"/>
          <c:h val="0.8554049868766405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BF0A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84-4071-B01E-FD4EF143C8F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84-4071-B01E-FD4EF143C8F9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84-4071-B01E-FD4EF143C8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'KPI Perform Dashboard'!$B$16:$D$16</c:f>
              <c:strCache>
                <c:ptCount val="3"/>
                <c:pt idx="0">
                  <c:v>NOT STARTED</c:v>
                </c:pt>
                <c:pt idx="1">
                  <c:v>IN PROGRESS</c:v>
                </c:pt>
                <c:pt idx="2">
                  <c:v>COMPLETE</c:v>
                </c:pt>
              </c:strCache>
            </c:strRef>
          </c:cat>
          <c:val>
            <c:numRef>
              <c:f>'KPI Perform Dashboard'!$B$17:$D$17</c:f>
              <c:numCache>
                <c:formatCode>0</c:formatCode>
                <c:ptCount val="3"/>
                <c:pt idx="0">
                  <c:v>30</c:v>
                </c:pt>
                <c:pt idx="1">
                  <c:v>60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84-4071-B01E-FD4EF143C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bg1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3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bg1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91-4A52-8436-6F501743562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bg1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91-4A52-8436-6F501743562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bg1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91-4A52-8436-6F501743562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bg1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91-4A52-8436-6F501743562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bg1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91-4A52-8436-6F501743562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bg1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D91-4A52-8436-6F501743562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bg1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D91-4A52-8436-6F501743562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bg1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D91-4A52-8436-6F501743562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bg1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D91-4A52-8436-6F5017435620}"/>
              </c:ext>
            </c:extLst>
          </c:dPt>
          <c:cat>
            <c:strRef>
              <c:f>'KPI Perform Dashboard'!$B$24:$M$24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'KPI Perform Dashboard'!$B$25:$M$25</c:f>
              <c:numCache>
                <c:formatCode>"$"#,##0.00</c:formatCode>
                <c:ptCount val="12"/>
                <c:pt idx="0">
                  <c:v>25000</c:v>
                </c:pt>
                <c:pt idx="1">
                  <c:v>32000</c:v>
                </c:pt>
                <c:pt idx="2">
                  <c:v>30000</c:v>
                </c:pt>
                <c:pt idx="3">
                  <c:v>21000</c:v>
                </c:pt>
                <c:pt idx="4">
                  <c:v>26500</c:v>
                </c:pt>
                <c:pt idx="5">
                  <c:v>32200</c:v>
                </c:pt>
                <c:pt idx="6">
                  <c:v>25000</c:v>
                </c:pt>
                <c:pt idx="7">
                  <c:v>23500</c:v>
                </c:pt>
                <c:pt idx="8">
                  <c:v>21000</c:v>
                </c:pt>
                <c:pt idx="9">
                  <c:v>25000</c:v>
                </c:pt>
                <c:pt idx="10">
                  <c:v>24200</c:v>
                </c:pt>
                <c:pt idx="11">
                  <c:v>23400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D91-4A52-8436-6F5017435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4806703"/>
        <c:axId val="514810031"/>
      </c:barChart>
      <c:catAx>
        <c:axId val="51480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14810031"/>
        <c:crosses val="autoZero"/>
        <c:auto val="1"/>
        <c:lblAlgn val="ctr"/>
        <c:lblOffset val="100"/>
        <c:noMultiLvlLbl val="0"/>
      </c:catAx>
      <c:valAx>
        <c:axId val="51481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1480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bg1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bg1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59A-48E1-AF43-3C867B8F11A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bg1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9A-48E1-AF43-3C867B8F11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bg1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59A-48E1-AF43-3C867B8F11A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bg1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59A-48E1-AF43-3C867B8F11A0}"/>
              </c:ext>
            </c:extLst>
          </c:dPt>
          <c:cat>
            <c:strRef>
              <c:f>'KPI Perform Dashboard'!$B$28:$E$28</c:f>
              <c:strCache>
                <c:ptCount val="4"/>
                <c:pt idx="0">
                  <c:v>QUARTER 1</c:v>
                </c:pt>
                <c:pt idx="1">
                  <c:v>QUARTER 2</c:v>
                </c:pt>
                <c:pt idx="2">
                  <c:v>QUARTER 3</c:v>
                </c:pt>
                <c:pt idx="3">
                  <c:v>QUARTER 4</c:v>
                </c:pt>
              </c:strCache>
            </c:strRef>
          </c:cat>
          <c:val>
            <c:numRef>
              <c:f>'KPI Perform Dashboard'!$B$29:$E$29</c:f>
              <c:numCache>
                <c:formatCode>"$"#,##0.00</c:formatCode>
                <c:ptCount val="4"/>
                <c:pt idx="0">
                  <c:v>87000</c:v>
                </c:pt>
                <c:pt idx="1">
                  <c:v>79700</c:v>
                </c:pt>
                <c:pt idx="2">
                  <c:v>69500</c:v>
                </c:pt>
                <c:pt idx="3">
                  <c:v>72600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9A-48E1-AF43-3C867B8F1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2480111"/>
        <c:axId val="892482191"/>
      </c:barChart>
      <c:catAx>
        <c:axId val="892480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892482191"/>
        <c:crosses val="autoZero"/>
        <c:auto val="1"/>
        <c:lblAlgn val="ctr"/>
        <c:lblOffset val="100"/>
        <c:noMultiLvlLbl val="0"/>
      </c:catAx>
      <c:valAx>
        <c:axId val="89248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89248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7</xdr:row>
      <xdr:rowOff>12700</xdr:rowOff>
    </xdr:from>
    <xdr:to>
      <xdr:col>7</xdr:col>
      <xdr:colOff>1333500</xdr:colOff>
      <xdr:row>7</xdr:row>
      <xdr:rowOff>1841500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0630BE-DDCC-490F-AF94-8A5EA2176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88900</xdr:colOff>
      <xdr:row>10</xdr:row>
      <xdr:rowOff>76200</xdr:rowOff>
    </xdr:from>
    <xdr:to>
      <xdr:col>7</xdr:col>
      <xdr:colOff>1333500</xdr:colOff>
      <xdr:row>10</xdr:row>
      <xdr:rowOff>1905000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B90BBB-D158-4B53-989E-4BD8FE5E6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190500</xdr:colOff>
      <xdr:row>7</xdr:row>
      <xdr:rowOff>114300</xdr:rowOff>
    </xdr:from>
    <xdr:to>
      <xdr:col>4</xdr:col>
      <xdr:colOff>266700</xdr:colOff>
      <xdr:row>11</xdr:row>
      <xdr:rowOff>8370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8216BF-D79C-4BFE-87B0-6DF084541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63500</xdr:colOff>
      <xdr:row>1</xdr:row>
      <xdr:rowOff>368300</xdr:rowOff>
    </xdr:from>
    <xdr:to>
      <xdr:col>7</xdr:col>
      <xdr:colOff>1257300</xdr:colOff>
      <xdr:row>4</xdr:row>
      <xdr:rowOff>1193800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B7BB94-92E1-4816-B5D7-8B2E5C0F0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152400</xdr:colOff>
      <xdr:row>2</xdr:row>
      <xdr:rowOff>133349</xdr:rowOff>
    </xdr:from>
    <xdr:to>
      <xdr:col>12</xdr:col>
      <xdr:colOff>1400175</xdr:colOff>
      <xdr:row>4</xdr:row>
      <xdr:rowOff>1228724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0C9567-15B7-4152-B09D-9E8CDAD7C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233362</xdr:colOff>
      <xdr:row>7</xdr:row>
      <xdr:rowOff>19050</xdr:rowOff>
    </xdr:from>
    <xdr:to>
      <xdr:col>12</xdr:col>
      <xdr:colOff>1257300</xdr:colOff>
      <xdr:row>10</xdr:row>
      <xdr:rowOff>1924050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344A06-A51A-4244-BBB2-90D37636C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Business-Meeting-Agenda-Template3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siness Meeting Agend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GP31"/>
  <sheetViews>
    <sheetView showGridLines="0" tabSelected="1" zoomScale="55" zoomScaleNormal="55" workbookViewId="0">
      <pane ySplit="1" topLeftCell="A6" activePane="bottomLeft" state="frozen"/>
      <selection pane="bottomLeft" activeCell="T11" sqref="T11"/>
    </sheetView>
  </sheetViews>
  <sheetFormatPr defaultColWidth="10.875" defaultRowHeight="17.25" x14ac:dyDescent="0.3"/>
  <cols>
    <col min="1" max="1" width="3.375" style="1" customWidth="1"/>
    <col min="2" max="13" width="18.875" style="1" customWidth="1"/>
    <col min="14" max="14" width="3.25" style="1" customWidth="1"/>
    <col min="15" max="16384" width="10.875" style="1"/>
  </cols>
  <sheetData>
    <row r="1" spans="1:198" s="6" customFormat="1" ht="42" customHeight="1" x14ac:dyDescent="0.25">
      <c r="A1" s="5"/>
      <c r="B1" s="51" t="s">
        <v>44</v>
      </c>
      <c r="C1" s="52"/>
      <c r="D1" s="52"/>
      <c r="E1" s="52"/>
      <c r="F1" s="5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</row>
    <row r="2" spans="1:198" ht="35.1" customHeight="1" x14ac:dyDescent="0.3">
      <c r="A2" s="16"/>
      <c r="B2" s="21" t="s">
        <v>13</v>
      </c>
      <c r="C2" s="22"/>
      <c r="D2" s="22"/>
      <c r="E2" s="17"/>
      <c r="F2" s="23" t="s">
        <v>15</v>
      </c>
      <c r="G2" s="24"/>
      <c r="H2" s="25"/>
      <c r="I2" s="48" t="s">
        <v>42</v>
      </c>
      <c r="J2" s="49"/>
      <c r="K2" s="49"/>
      <c r="L2" s="49"/>
      <c r="M2" s="49"/>
      <c r="N2" s="16"/>
    </row>
    <row r="3" spans="1:198" ht="99.95" customHeight="1" x14ac:dyDescent="0.3">
      <c r="A3" s="16"/>
      <c r="B3" s="26" t="s">
        <v>11</v>
      </c>
      <c r="C3" s="27">
        <v>0.45</v>
      </c>
      <c r="D3" s="28" t="s">
        <v>23</v>
      </c>
      <c r="E3" s="16"/>
      <c r="F3" s="29"/>
      <c r="G3" s="24"/>
      <c r="H3" s="24"/>
      <c r="I3" s="50"/>
      <c r="J3" s="49"/>
      <c r="K3" s="49"/>
      <c r="L3" s="49"/>
      <c r="M3" s="49"/>
      <c r="N3" s="16"/>
    </row>
    <row r="4" spans="1:198" ht="99.95" customHeight="1" x14ac:dyDescent="0.3">
      <c r="A4" s="16"/>
      <c r="B4" s="30" t="s">
        <v>19</v>
      </c>
      <c r="C4" s="31">
        <v>0.3</v>
      </c>
      <c r="D4" s="32" t="s">
        <v>22</v>
      </c>
      <c r="E4" s="16"/>
      <c r="F4" s="29"/>
      <c r="G4" s="24"/>
      <c r="H4" s="24"/>
      <c r="I4" s="50"/>
      <c r="J4" s="49"/>
      <c r="K4" s="49"/>
      <c r="L4" s="49"/>
      <c r="M4" s="49"/>
      <c r="N4" s="16"/>
    </row>
    <row r="5" spans="1:198" ht="99.95" customHeight="1" x14ac:dyDescent="0.3">
      <c r="A5" s="16"/>
      <c r="B5" s="33" t="s">
        <v>20</v>
      </c>
      <c r="C5" s="34">
        <f>H17/F17</f>
        <v>0.26</v>
      </c>
      <c r="D5" s="35" t="s">
        <v>21</v>
      </c>
      <c r="E5" s="16"/>
      <c r="F5" s="29"/>
      <c r="G5" s="24"/>
      <c r="H5" s="24"/>
      <c r="I5" s="50"/>
      <c r="J5" s="49"/>
      <c r="K5" s="49"/>
      <c r="L5" s="49"/>
      <c r="M5" s="49"/>
      <c r="N5" s="16"/>
    </row>
    <row r="6" spans="1:198" ht="21" customHeight="1" x14ac:dyDescent="0.3">
      <c r="A6" s="16"/>
      <c r="B6" s="19"/>
      <c r="C6" s="16"/>
      <c r="D6" s="16"/>
      <c r="E6" s="16"/>
      <c r="F6" s="24"/>
      <c r="G6" s="24"/>
      <c r="H6" s="24"/>
      <c r="I6" s="16"/>
      <c r="J6" s="16"/>
      <c r="K6" s="16"/>
      <c r="L6" s="16"/>
      <c r="M6" s="16"/>
      <c r="N6" s="16"/>
    </row>
    <row r="7" spans="1:198" ht="35.1" customHeight="1" x14ac:dyDescent="0.3">
      <c r="A7" s="16"/>
      <c r="B7" s="36" t="s">
        <v>7</v>
      </c>
      <c r="C7" s="37"/>
      <c r="D7" s="37"/>
      <c r="E7" s="20"/>
      <c r="F7" s="38" t="s">
        <v>0</v>
      </c>
      <c r="G7" s="39"/>
      <c r="H7" s="39"/>
      <c r="I7" s="40" t="s">
        <v>43</v>
      </c>
      <c r="J7" s="41"/>
      <c r="K7" s="41"/>
      <c r="L7" s="41"/>
      <c r="M7" s="41"/>
      <c r="N7" s="16"/>
    </row>
    <row r="8" spans="1:198" ht="155.1" customHeight="1" x14ac:dyDescent="0.3">
      <c r="A8" s="16"/>
      <c r="B8" s="42"/>
      <c r="C8" s="43"/>
      <c r="D8" s="43"/>
      <c r="E8" s="16"/>
      <c r="F8" s="44"/>
      <c r="G8" s="45"/>
      <c r="H8" s="45"/>
      <c r="I8" s="46"/>
      <c r="J8" s="41"/>
      <c r="K8" s="41"/>
      <c r="L8" s="41"/>
      <c r="M8" s="41"/>
      <c r="N8" s="16"/>
    </row>
    <row r="9" spans="1:198" x14ac:dyDescent="0.3">
      <c r="A9" s="16"/>
      <c r="B9" s="42"/>
      <c r="C9" s="43"/>
      <c r="D9" s="43"/>
      <c r="E9" s="16"/>
      <c r="F9" s="44"/>
      <c r="G9" s="45"/>
      <c r="H9" s="45"/>
      <c r="I9" s="46"/>
      <c r="J9" s="41"/>
      <c r="K9" s="41"/>
      <c r="L9" s="41"/>
      <c r="M9" s="41"/>
      <c r="N9" s="16"/>
    </row>
    <row r="10" spans="1:198" ht="24" customHeight="1" x14ac:dyDescent="0.3">
      <c r="A10" s="16"/>
      <c r="B10" s="42"/>
      <c r="C10" s="47"/>
      <c r="D10" s="47"/>
      <c r="E10" s="18"/>
      <c r="F10" s="38" t="s">
        <v>4</v>
      </c>
      <c r="G10" s="39"/>
      <c r="H10" s="39"/>
      <c r="I10" s="46"/>
      <c r="J10" s="41"/>
      <c r="K10" s="41"/>
      <c r="L10" s="41"/>
      <c r="M10" s="41"/>
      <c r="N10" s="16"/>
    </row>
    <row r="11" spans="1:198" ht="155.1" customHeight="1" x14ac:dyDescent="0.3">
      <c r="A11" s="16"/>
      <c r="B11" s="42"/>
      <c r="C11" s="43"/>
      <c r="D11" s="43"/>
      <c r="E11" s="16"/>
      <c r="F11" s="44"/>
      <c r="G11" s="45"/>
      <c r="H11" s="45"/>
      <c r="I11" s="46"/>
      <c r="J11" s="41"/>
      <c r="K11" s="41"/>
      <c r="L11" s="41"/>
      <c r="M11" s="41"/>
      <c r="N11" s="16"/>
    </row>
    <row r="12" spans="1:198" ht="9.9499999999999993" customHeight="1" thickBot="1" x14ac:dyDescent="0.35">
      <c r="A12" s="16"/>
      <c r="B12" s="55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16"/>
    </row>
    <row r="13" spans="1:198" s="4" customFormat="1" ht="45" customHeight="1" x14ac:dyDescent="0.25">
      <c r="B13"/>
      <c r="C13"/>
      <c r="D13" s="54"/>
      <c r="E13" s="54"/>
      <c r="F13" s="54"/>
      <c r="G13" s="54"/>
      <c r="H13" s="54"/>
      <c r="I13" s="54"/>
      <c r="J13" s="54"/>
      <c r="K13" s="54"/>
      <c r="L13" s="54"/>
      <c r="M13" s="54"/>
    </row>
    <row r="14" spans="1:198" s="4" customFormat="1" ht="45" customHeight="1" x14ac:dyDescent="0.25">
      <c r="B14" s="57" t="s">
        <v>12</v>
      </c>
      <c r="C14" s="57"/>
      <c r="D14" s="57"/>
      <c r="E14" s="54"/>
      <c r="F14" s="54"/>
      <c r="G14" s="54"/>
      <c r="H14" s="54"/>
      <c r="I14" s="54"/>
      <c r="J14" s="54"/>
      <c r="K14" s="54"/>
      <c r="L14" s="54"/>
      <c r="M14" s="54"/>
    </row>
    <row r="15" spans="1:198" ht="30" customHeight="1" thickBot="1" x14ac:dyDescent="0.35">
      <c r="A15" s="2"/>
      <c r="B15" s="58" t="s">
        <v>15</v>
      </c>
      <c r="C15" s="58"/>
      <c r="D15" s="58"/>
      <c r="E15" s="59"/>
      <c r="F15" s="58" t="s">
        <v>7</v>
      </c>
      <c r="G15" s="58"/>
      <c r="H15" s="58"/>
      <c r="I15" s="60"/>
      <c r="J15" s="61"/>
      <c r="K15" s="61"/>
      <c r="L15" s="61"/>
      <c r="M15" s="61"/>
    </row>
    <row r="16" spans="1:198" ht="30" customHeight="1" x14ac:dyDescent="0.3">
      <c r="A16" s="2"/>
      <c r="B16" s="62" t="s">
        <v>16</v>
      </c>
      <c r="C16" s="63" t="s">
        <v>17</v>
      </c>
      <c r="D16" s="64" t="s">
        <v>18</v>
      </c>
      <c r="E16" s="59"/>
      <c r="F16" s="65" t="s">
        <v>8</v>
      </c>
      <c r="G16" s="66" t="s">
        <v>9</v>
      </c>
      <c r="H16" s="67" t="s">
        <v>10</v>
      </c>
      <c r="I16" s="60"/>
      <c r="J16" s="61"/>
      <c r="K16" s="61"/>
      <c r="L16" s="61"/>
      <c r="M16" s="61"/>
    </row>
    <row r="17" spans="1:13" ht="30" customHeight="1" x14ac:dyDescent="0.3">
      <c r="A17" s="2"/>
      <c r="B17" s="68">
        <v>30</v>
      </c>
      <c r="C17" s="68">
        <v>60</v>
      </c>
      <c r="D17" s="68">
        <v>62</v>
      </c>
      <c r="E17" s="59"/>
      <c r="F17" s="69">
        <v>250000</v>
      </c>
      <c r="G17" s="69">
        <v>185000</v>
      </c>
      <c r="H17" s="69">
        <f t="shared" ref="H17" si="0">(F17-G17)</f>
        <v>65000</v>
      </c>
      <c r="I17" s="60"/>
      <c r="J17" s="61"/>
      <c r="K17" s="61"/>
      <c r="L17" s="61"/>
      <c r="M17" s="61"/>
    </row>
    <row r="18" spans="1:13" ht="17.25" customHeight="1" x14ac:dyDescent="0.3"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</row>
    <row r="19" spans="1:13" ht="30" customHeight="1" thickBot="1" x14ac:dyDescent="0.35">
      <c r="B19" s="58" t="s">
        <v>0</v>
      </c>
      <c r="C19" s="58"/>
      <c r="D19" s="58"/>
      <c r="E19" s="61"/>
      <c r="F19" s="58" t="s">
        <v>4</v>
      </c>
      <c r="G19" s="58"/>
      <c r="H19" s="70"/>
      <c r="I19" s="61"/>
      <c r="J19" s="61"/>
      <c r="K19" s="61"/>
      <c r="L19" s="61"/>
      <c r="M19" s="61"/>
    </row>
    <row r="20" spans="1:13" ht="30" customHeight="1" x14ac:dyDescent="0.3">
      <c r="B20" s="71" t="s">
        <v>1</v>
      </c>
      <c r="C20" s="72" t="s">
        <v>2</v>
      </c>
      <c r="D20" s="73" t="s">
        <v>3</v>
      </c>
      <c r="E20" s="61"/>
      <c r="F20" s="74" t="s">
        <v>14</v>
      </c>
      <c r="G20" s="75" t="s">
        <v>5</v>
      </c>
      <c r="H20" s="76" t="s">
        <v>6</v>
      </c>
      <c r="I20" s="61"/>
      <c r="J20" s="61"/>
      <c r="K20" s="61"/>
      <c r="L20" s="61"/>
      <c r="M20" s="61"/>
    </row>
    <row r="21" spans="1:13" ht="30" customHeight="1" x14ac:dyDescent="0.3">
      <c r="B21" s="68">
        <v>1</v>
      </c>
      <c r="C21" s="68">
        <v>2</v>
      </c>
      <c r="D21" s="68">
        <v>3</v>
      </c>
      <c r="E21" s="61"/>
      <c r="F21" s="68">
        <v>3</v>
      </c>
      <c r="G21" s="68">
        <v>1</v>
      </c>
      <c r="H21" s="68">
        <v>3</v>
      </c>
      <c r="I21" s="61"/>
      <c r="J21" s="61"/>
      <c r="K21" s="61"/>
      <c r="L21" s="61"/>
      <c r="M21" s="61"/>
    </row>
    <row r="22" spans="1:13" ht="17.25" customHeight="1" x14ac:dyDescent="0.3">
      <c r="B22" s="77"/>
      <c r="C22" s="77"/>
      <c r="D22" s="77"/>
      <c r="E22" s="61"/>
      <c r="F22" s="77"/>
      <c r="G22" s="77"/>
      <c r="H22" s="77"/>
      <c r="I22" s="61"/>
      <c r="J22" s="61"/>
      <c r="K22" s="61"/>
      <c r="L22" s="61"/>
      <c r="M22" s="61"/>
    </row>
    <row r="23" spans="1:13" ht="30" customHeight="1" x14ac:dyDescent="0.3">
      <c r="B23" s="78" t="s">
        <v>24</v>
      </c>
      <c r="C23" s="78"/>
      <c r="D23" s="79"/>
      <c r="E23" s="61"/>
      <c r="F23" s="61"/>
      <c r="G23" s="61"/>
      <c r="H23" s="61"/>
      <c r="I23" s="61"/>
      <c r="J23" s="61"/>
      <c r="K23" s="61"/>
      <c r="L23" s="61"/>
      <c r="M23" s="61"/>
    </row>
    <row r="24" spans="1:13" ht="30" customHeight="1" x14ac:dyDescent="0.3">
      <c r="B24" s="7" t="s">
        <v>29</v>
      </c>
      <c r="C24" s="7" t="s">
        <v>30</v>
      </c>
      <c r="D24" s="7" t="s">
        <v>31</v>
      </c>
      <c r="E24" s="10" t="s">
        <v>32</v>
      </c>
      <c r="F24" s="10" t="s">
        <v>33</v>
      </c>
      <c r="G24" s="10" t="s">
        <v>34</v>
      </c>
      <c r="H24" s="12" t="s">
        <v>35</v>
      </c>
      <c r="I24" s="12" t="s">
        <v>38</v>
      </c>
      <c r="J24" s="12" t="s">
        <v>39</v>
      </c>
      <c r="K24" s="14" t="s">
        <v>36</v>
      </c>
      <c r="L24" s="14" t="s">
        <v>37</v>
      </c>
      <c r="M24" s="14" t="s">
        <v>40</v>
      </c>
    </row>
    <row r="25" spans="1:13" ht="30" customHeight="1" x14ac:dyDescent="0.3">
      <c r="B25" s="80">
        <v>25000</v>
      </c>
      <c r="C25" s="80">
        <v>32000</v>
      </c>
      <c r="D25" s="80">
        <v>30000</v>
      </c>
      <c r="E25" s="81">
        <v>21000</v>
      </c>
      <c r="F25" s="81">
        <v>26500</v>
      </c>
      <c r="G25" s="81">
        <v>32200</v>
      </c>
      <c r="H25" s="81">
        <v>25000</v>
      </c>
      <c r="I25" s="81">
        <v>23500</v>
      </c>
      <c r="J25" s="81">
        <v>21000</v>
      </c>
      <c r="K25" s="81">
        <v>25000</v>
      </c>
      <c r="L25" s="81">
        <v>24200</v>
      </c>
      <c r="M25" s="81">
        <v>23400</v>
      </c>
    </row>
    <row r="26" spans="1:13" ht="17.25" customHeight="1" x14ac:dyDescent="0.3">
      <c r="B26" s="82"/>
      <c r="C26" s="82"/>
      <c r="D26" s="82"/>
      <c r="E26" s="83"/>
      <c r="F26" s="83"/>
      <c r="G26" s="84"/>
      <c r="H26" s="84"/>
      <c r="I26" s="84"/>
      <c r="J26" s="84"/>
      <c r="K26" s="84"/>
      <c r="L26" s="84"/>
      <c r="M26" s="84"/>
    </row>
    <row r="27" spans="1:13" ht="30" customHeight="1" x14ac:dyDescent="0.3">
      <c r="B27" s="78" t="s">
        <v>25</v>
      </c>
      <c r="C27" s="78"/>
      <c r="D27" s="79"/>
      <c r="E27" s="61"/>
      <c r="F27" s="61"/>
      <c r="G27" s="61"/>
      <c r="H27" s="61"/>
      <c r="I27" s="61"/>
      <c r="J27" s="61"/>
      <c r="K27" s="61"/>
      <c r="L27" s="61"/>
      <c r="M27" s="61"/>
    </row>
    <row r="28" spans="1:13" ht="30" customHeight="1" x14ac:dyDescent="0.3">
      <c r="B28" s="7" t="s">
        <v>26</v>
      </c>
      <c r="C28" s="11" t="s">
        <v>41</v>
      </c>
      <c r="D28" s="13" t="s">
        <v>27</v>
      </c>
      <c r="E28" s="14" t="s">
        <v>28</v>
      </c>
      <c r="F28" s="9"/>
      <c r="G28" s="8"/>
      <c r="H28" s="8"/>
      <c r="I28" s="8"/>
      <c r="J28" s="8"/>
      <c r="K28" s="8"/>
      <c r="L28" s="8"/>
      <c r="M28" s="8"/>
    </row>
    <row r="29" spans="1:13" ht="30" customHeight="1" x14ac:dyDescent="0.3">
      <c r="B29" s="85">
        <f>SUM(B25:D25)</f>
        <v>87000</v>
      </c>
      <c r="C29" s="85">
        <f>SUM(E25:G25)</f>
        <v>79700</v>
      </c>
      <c r="D29" s="85">
        <f>SUM(H25:J25)</f>
        <v>69500</v>
      </c>
      <c r="E29" s="86">
        <f>SUM(K25:M25)</f>
        <v>72600</v>
      </c>
      <c r="F29" s="87"/>
      <c r="G29" s="84"/>
      <c r="H29" s="84"/>
      <c r="I29" s="84"/>
      <c r="J29" s="84"/>
      <c r="K29" s="84"/>
      <c r="L29" s="84"/>
      <c r="M29" s="84"/>
    </row>
    <row r="30" spans="1:13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</row>
    <row r="31" spans="1:13" s="3" customFormat="1" ht="50.1" customHeight="1" x14ac:dyDescent="0.25">
      <c r="B31" s="15"/>
      <c r="C31" s="15"/>
      <c r="D31" s="15"/>
      <c r="E31" s="15"/>
      <c r="F31" s="15"/>
      <c r="G31" s="15"/>
      <c r="H31" s="15"/>
    </row>
  </sheetData>
  <mergeCells count="4">
    <mergeCell ref="B23:C23"/>
    <mergeCell ref="B27:C27"/>
    <mergeCell ref="B31:H31"/>
    <mergeCell ref="B14:D14"/>
  </mergeCells>
  <pageMargins left="0.3" right="0.3" top="0.3" bottom="0.3" header="0" footer="0"/>
  <pageSetup scale="55" fitToHeight="0" orientation="landscape" horizontalDpi="4294967292" verticalDpi="4294967292" r:id="rId1"/>
  <rowBreaks count="1" manualBreakCount="1">
    <brk id="12" max="16383" man="1"/>
  </rowBreaks>
  <ignoredErrors>
    <ignoredError sqref="B29:E2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KPI Perform Dashboard</vt:lpstr>
      <vt:lpstr>'KPI Perform Dashboard'!Print_Area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</cp:lastModifiedBy>
  <cp:lastPrinted>2023-01-21T17:35:39Z</cp:lastPrinted>
  <dcterms:created xsi:type="dcterms:W3CDTF">2016-03-21T16:06:55Z</dcterms:created>
  <dcterms:modified xsi:type="dcterms:W3CDTF">2026-02-04T07:42:12Z</dcterms:modified>
</cp:coreProperties>
</file>